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1002/"/>
    </mc:Choice>
  </mc:AlternateContent>
  <xr:revisionPtr revIDLastSave="340" documentId="8_{9E635997-56E2-3B41-A651-8D59DE2027DA}" xr6:coauthVersionLast="47" xr6:coauthVersionMax="47" xr10:uidLastSave="{64C6A0E9-30EB-704C-92E5-93A22F652AFA}"/>
  <bookViews>
    <workbookView xWindow="0" yWindow="640" windowWidth="25600" windowHeight="16000" activeTab="1" xr2:uid="{FEE94988-9F61-9540-B165-1721C2C51D63}"/>
  </bookViews>
  <sheets>
    <sheet name="044_04" sheetId="1" r:id="rId1"/>
    <sheet name="044_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F11" i="2" l="1"/>
  <c r="G11" i="1"/>
  <c r="F5" i="2" l="1"/>
  <c r="D10" i="1"/>
  <c r="D9" i="1" l="1"/>
</calcChain>
</file>

<file path=xl/sharedStrings.xml><?xml version="1.0" encoding="utf-8"?>
<sst xmlns="http://schemas.openxmlformats.org/spreadsheetml/2006/main" count="13" uniqueCount="10">
  <si>
    <t>14:25 primer data TGS</t>
  </si>
  <si>
    <t>Current</t>
  </si>
  <si>
    <t>dpa</t>
  </si>
  <si>
    <t>hours</t>
  </si>
  <si>
    <t>It has 2 TGS files</t>
  </si>
  <si>
    <t>Time</t>
  </si>
  <si>
    <t>Current (nA)</t>
  </si>
  <si>
    <t>After SAWf value</t>
  </si>
  <si>
    <t>Before SAWf value</t>
  </si>
  <si>
    <t>SAWf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</si>
</sst>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1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B8C3-1463-4846-B912-1CF58ECBB91D}">
  <dimension ref="A1:H22"/>
  <sheetViews>
    <sheetView workbookViewId="0">
      <selection activeCell="C16" sqref="C16"/>
    </sheetView>
  </sheetViews>
  <sheetFormatPr baseColWidth="10" defaultRowHeight="16" x14ac:dyDescent="0.2"/>
  <sheetData>
    <row r="1" spans="1:8" x14ac:dyDescent="0.2">
      <c r="B1" t="s">
        <v>1</v>
      </c>
    </row>
    <row r="2" spans="1:8" x14ac:dyDescent="0.2">
      <c r="A2" s="1">
        <v>0.60069444444444398</v>
      </c>
      <c r="B2">
        <v>0</v>
      </c>
      <c r="E2" t="s">
        <v>0</v>
      </c>
    </row>
    <row r="3" spans="1:8" x14ac:dyDescent="0.2">
      <c r="A3" s="1">
        <v>0.60208333333333297</v>
      </c>
      <c r="B3">
        <v>0</v>
      </c>
    </row>
    <row r="4" spans="1:8" x14ac:dyDescent="0.2">
      <c r="A4" s="1">
        <v>0.60347222222222197</v>
      </c>
      <c r="B4">
        <v>0</v>
      </c>
      <c r="H4" t="s">
        <v>4</v>
      </c>
    </row>
    <row r="5" spans="1:8" x14ac:dyDescent="0.2">
      <c r="A5" s="1">
        <v>0.60486111111111096</v>
      </c>
      <c r="B5">
        <v>0</v>
      </c>
    </row>
    <row r="6" spans="1:8" x14ac:dyDescent="0.2">
      <c r="A6" s="1">
        <v>0.60624999999999996</v>
      </c>
      <c r="B6">
        <v>0</v>
      </c>
    </row>
    <row r="7" spans="1:8" x14ac:dyDescent="0.2">
      <c r="A7" s="1">
        <v>0.60763888888888884</v>
      </c>
      <c r="B7">
        <v>0</v>
      </c>
      <c r="D7" t="s">
        <v>2</v>
      </c>
      <c r="E7" t="s">
        <v>3</v>
      </c>
    </row>
    <row r="8" spans="1:8" x14ac:dyDescent="0.2">
      <c r="A8" s="1">
        <v>0.60833333333333328</v>
      </c>
      <c r="B8">
        <v>100</v>
      </c>
      <c r="D8">
        <v>15.8</v>
      </c>
      <c r="E8">
        <v>60</v>
      </c>
    </row>
    <row r="9" spans="1:8" x14ac:dyDescent="0.2">
      <c r="A9" s="1">
        <v>0.61527777777777781</v>
      </c>
      <c r="B9">
        <v>110</v>
      </c>
      <c r="D9">
        <f>E9*D8/E8</f>
        <v>20.540000000000003</v>
      </c>
      <c r="E9">
        <v>78</v>
      </c>
      <c r="G9" s="2">
        <v>531674000</v>
      </c>
      <c r="H9" t="s">
        <v>8</v>
      </c>
    </row>
    <row r="10" spans="1:8" x14ac:dyDescent="0.2">
      <c r="A10" s="1">
        <v>0.62222222222222201</v>
      </c>
      <c r="B10">
        <v>100</v>
      </c>
      <c r="D10">
        <f>E10*D8/E8</f>
        <v>22.646666666666665</v>
      </c>
      <c r="E10">
        <v>86</v>
      </c>
      <c r="G10" s="2">
        <v>530054000</v>
      </c>
      <c r="H10" t="s">
        <v>7</v>
      </c>
    </row>
    <row r="11" spans="1:8" x14ac:dyDescent="0.2">
      <c r="A11" s="1">
        <v>0.62916666666666698</v>
      </c>
      <c r="B11">
        <v>110</v>
      </c>
      <c r="G11" s="3">
        <f>(G10-G9)/G9*100</f>
        <v>-0.30469799162644778</v>
      </c>
      <c r="H11" t="s">
        <v>9</v>
      </c>
    </row>
    <row r="12" spans="1:8" x14ac:dyDescent="0.2">
      <c r="A12" s="1">
        <v>0.63611111111111096</v>
      </c>
      <c r="B12">
        <v>115</v>
      </c>
    </row>
    <row r="13" spans="1:8" x14ac:dyDescent="0.2">
      <c r="A13" s="1">
        <v>0.64305555555555605</v>
      </c>
      <c r="B13">
        <v>110</v>
      </c>
    </row>
    <row r="14" spans="1:8" x14ac:dyDescent="0.2">
      <c r="A14" s="1">
        <v>0.66249999999999998</v>
      </c>
      <c r="B14">
        <v>110</v>
      </c>
    </row>
    <row r="15" spans="1:8" x14ac:dyDescent="0.2">
      <c r="A15" s="1">
        <v>0.66805555555555551</v>
      </c>
      <c r="B15">
        <v>110</v>
      </c>
      <c r="C15" s="1">
        <f>A15-A8</f>
        <v>5.9722222222222232E-2</v>
      </c>
    </row>
    <row r="16" spans="1:8" x14ac:dyDescent="0.2">
      <c r="A16" s="1">
        <v>0.66874999999999996</v>
      </c>
      <c r="B16">
        <v>0</v>
      </c>
    </row>
    <row r="17" spans="1:2" x14ac:dyDescent="0.2">
      <c r="A17" s="1">
        <v>0.66944444444444395</v>
      </c>
      <c r="B17">
        <v>0</v>
      </c>
    </row>
    <row r="18" spans="1:2" x14ac:dyDescent="0.2">
      <c r="A18" s="1">
        <v>0.67013888888888895</v>
      </c>
      <c r="B18">
        <v>0</v>
      </c>
    </row>
    <row r="19" spans="1:2" x14ac:dyDescent="0.2">
      <c r="A19" s="1">
        <v>0.67083333333333295</v>
      </c>
      <c r="B19">
        <v>0</v>
      </c>
    </row>
    <row r="20" spans="1:2" x14ac:dyDescent="0.2">
      <c r="A20" s="1">
        <v>0.67152777777777795</v>
      </c>
      <c r="B20">
        <v>0</v>
      </c>
    </row>
    <row r="21" spans="1:2" x14ac:dyDescent="0.2">
      <c r="A21" s="1">
        <v>0.67222222222222205</v>
      </c>
      <c r="B21">
        <v>0</v>
      </c>
    </row>
    <row r="22" spans="1:2" x14ac:dyDescent="0.2">
      <c r="A22" s="1">
        <v>0.67291666666666705</v>
      </c>
      <c r="B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3F6E-8ABE-614E-BD99-4B40A405310A}">
  <dimension ref="A1:G47"/>
  <sheetViews>
    <sheetView tabSelected="1" zoomScale="75" workbookViewId="0">
      <selection activeCell="C5" sqref="C5"/>
    </sheetView>
  </sheetViews>
  <sheetFormatPr baseColWidth="10" defaultRowHeight="16" x14ac:dyDescent="0.2"/>
  <cols>
    <col min="1" max="1" width="11.33203125" style="5" bestFit="1" customWidth="1"/>
  </cols>
  <sheetData>
    <row r="1" spans="1:7" x14ac:dyDescent="0.2">
      <c r="A1" s="5" t="s">
        <v>5</v>
      </c>
      <c r="B1" t="s">
        <v>6</v>
      </c>
    </row>
    <row r="2" spans="1:7" x14ac:dyDescent="0.2">
      <c r="A2" s="5">
        <v>0.82430555555555551</v>
      </c>
      <c r="B2" s="4">
        <v>0</v>
      </c>
    </row>
    <row r="3" spans="1:7" x14ac:dyDescent="0.2">
      <c r="A3" s="5">
        <v>0.82638888888888884</v>
      </c>
      <c r="B3" s="4">
        <v>0</v>
      </c>
    </row>
    <row r="4" spans="1:7" x14ac:dyDescent="0.2">
      <c r="A4" s="5">
        <v>0.82863425925925926</v>
      </c>
      <c r="B4" s="4">
        <v>0</v>
      </c>
      <c r="E4">
        <v>17.3</v>
      </c>
      <c r="F4">
        <v>60</v>
      </c>
    </row>
    <row r="5" spans="1:7" x14ac:dyDescent="0.2">
      <c r="A5" s="5">
        <v>0.8286458333333333</v>
      </c>
      <c r="B5" s="4">
        <v>120</v>
      </c>
      <c r="C5" s="5"/>
      <c r="E5">
        <v>23</v>
      </c>
      <c r="F5">
        <f>F4*E5/E4</f>
        <v>79.76878612716763</v>
      </c>
    </row>
    <row r="6" spans="1:7" x14ac:dyDescent="0.2">
      <c r="A6" s="5">
        <v>0.83333333333333337</v>
      </c>
      <c r="B6" s="4">
        <v>120</v>
      </c>
    </row>
    <row r="7" spans="1:7" x14ac:dyDescent="0.2">
      <c r="A7" s="5">
        <v>0.83680555555555558</v>
      </c>
      <c r="B7" s="4">
        <v>120</v>
      </c>
    </row>
    <row r="8" spans="1:7" x14ac:dyDescent="0.2">
      <c r="A8" s="5">
        <v>0.84027777777777779</v>
      </c>
      <c r="B8" s="4">
        <v>120</v>
      </c>
      <c r="C8" s="5"/>
      <c r="D8" s="4"/>
    </row>
    <row r="9" spans="1:7" x14ac:dyDescent="0.2">
      <c r="A9" s="5">
        <v>0.84310185185185182</v>
      </c>
      <c r="B9" s="4">
        <v>120</v>
      </c>
      <c r="C9" s="5"/>
      <c r="D9" s="4"/>
      <c r="F9" s="2">
        <v>532478000</v>
      </c>
      <c r="G9" t="s">
        <v>8</v>
      </c>
    </row>
    <row r="10" spans="1:7" x14ac:dyDescent="0.2">
      <c r="A10" s="5">
        <v>0.84311342592592597</v>
      </c>
      <c r="B10" s="4">
        <v>0</v>
      </c>
      <c r="C10" s="5"/>
      <c r="D10" s="4"/>
      <c r="F10" s="2">
        <v>529601000</v>
      </c>
      <c r="G10" t="s">
        <v>7</v>
      </c>
    </row>
    <row r="11" spans="1:7" x14ac:dyDescent="0.2">
      <c r="A11" s="5">
        <v>0.84383101851851849</v>
      </c>
      <c r="B11" s="4">
        <v>120</v>
      </c>
      <c r="C11" s="5"/>
      <c r="D11" s="4"/>
      <c r="F11" s="3">
        <f>(F10-F9)/F9*100</f>
        <v>-0.54030401256014338</v>
      </c>
      <c r="G11" t="s">
        <v>9</v>
      </c>
    </row>
    <row r="12" spans="1:7" x14ac:dyDescent="0.2">
      <c r="A12" s="5">
        <v>0.84471064814814811</v>
      </c>
      <c r="B12" s="4">
        <v>120</v>
      </c>
      <c r="C12" s="5"/>
      <c r="D12" s="4"/>
    </row>
    <row r="13" spans="1:7" x14ac:dyDescent="0.2">
      <c r="A13" s="5">
        <v>0.8457175925925926</v>
      </c>
      <c r="B13" s="4">
        <v>80</v>
      </c>
      <c r="C13" s="5"/>
      <c r="D13" s="4"/>
    </row>
    <row r="14" spans="1:7" x14ac:dyDescent="0.2">
      <c r="A14" s="5">
        <v>0.84590277777777778</v>
      </c>
      <c r="B14" s="4">
        <v>0</v>
      </c>
      <c r="C14" s="5"/>
      <c r="D14" s="4"/>
    </row>
    <row r="15" spans="1:7" x14ac:dyDescent="0.2">
      <c r="A15" s="5">
        <v>0.84591435185185182</v>
      </c>
      <c r="B15" s="4">
        <v>120</v>
      </c>
      <c r="C15" s="5"/>
      <c r="D15" s="4"/>
    </row>
    <row r="16" spans="1:7" x14ac:dyDescent="0.2">
      <c r="A16" s="5">
        <v>0.8469444444444445</v>
      </c>
      <c r="B16" s="4">
        <v>110</v>
      </c>
      <c r="C16" s="5"/>
      <c r="D16" s="4"/>
    </row>
    <row r="17" spans="1:4" x14ac:dyDescent="0.2">
      <c r="A17" s="5">
        <v>0.84695601851851854</v>
      </c>
      <c r="B17" s="4">
        <v>0</v>
      </c>
      <c r="C17" s="5"/>
      <c r="D17" s="4"/>
    </row>
    <row r="18" spans="1:4" x14ac:dyDescent="0.2">
      <c r="A18" s="5">
        <v>0.84761574074074075</v>
      </c>
      <c r="B18" s="4">
        <v>110</v>
      </c>
      <c r="C18" s="5"/>
      <c r="D18" s="4"/>
    </row>
    <row r="19" spans="1:4" x14ac:dyDescent="0.2">
      <c r="A19" s="5">
        <v>0.84879629629629627</v>
      </c>
      <c r="B19" s="4">
        <v>110</v>
      </c>
      <c r="C19" s="5"/>
      <c r="D19" s="4"/>
    </row>
    <row r="20" spans="1:4" x14ac:dyDescent="0.2">
      <c r="A20" s="5">
        <v>0.84880787037037042</v>
      </c>
      <c r="B20" s="4">
        <v>0</v>
      </c>
      <c r="C20" s="5"/>
      <c r="D20" s="4"/>
    </row>
    <row r="21" spans="1:4" x14ac:dyDescent="0.2">
      <c r="A21" s="5">
        <v>0.8489930555555556</v>
      </c>
      <c r="B21" s="4">
        <v>0</v>
      </c>
      <c r="C21" s="5"/>
      <c r="D21" s="4"/>
    </row>
    <row r="22" spans="1:4" x14ac:dyDescent="0.2">
      <c r="A22" s="5">
        <v>0.84900462962962964</v>
      </c>
      <c r="B22" s="4">
        <v>104</v>
      </c>
      <c r="C22" s="5"/>
      <c r="D22" s="4"/>
    </row>
    <row r="23" spans="1:4" x14ac:dyDescent="0.2">
      <c r="A23" s="5">
        <v>0.84993055555555552</v>
      </c>
      <c r="B23" s="4">
        <v>104</v>
      </c>
      <c r="C23" s="5"/>
      <c r="D23" s="4"/>
    </row>
    <row r="24" spans="1:4" x14ac:dyDescent="0.2">
      <c r="A24" s="5">
        <v>0.8501157407407407</v>
      </c>
      <c r="B24" s="4">
        <v>0</v>
      </c>
      <c r="C24" s="5"/>
      <c r="D24" s="4"/>
    </row>
    <row r="25" spans="1:4" x14ac:dyDescent="0.2">
      <c r="A25" s="5">
        <v>0.85035879629629629</v>
      </c>
      <c r="B25" s="4">
        <v>0</v>
      </c>
      <c r="C25" s="5"/>
      <c r="D25" s="4"/>
    </row>
    <row r="26" spans="1:4" x14ac:dyDescent="0.2">
      <c r="A26" s="5">
        <v>0.85060185185185189</v>
      </c>
      <c r="B26" s="4">
        <v>80</v>
      </c>
      <c r="C26" s="5"/>
      <c r="D26" s="4"/>
    </row>
    <row r="27" spans="1:4" x14ac:dyDescent="0.2">
      <c r="A27" s="5">
        <v>0.85158564814814819</v>
      </c>
      <c r="B27" s="4">
        <v>80</v>
      </c>
      <c r="C27" s="5"/>
      <c r="D27" s="4"/>
    </row>
    <row r="28" spans="1:4" x14ac:dyDescent="0.2">
      <c r="A28" s="5">
        <v>0.85159722222222223</v>
      </c>
      <c r="B28" s="4">
        <v>0</v>
      </c>
      <c r="C28" s="5"/>
      <c r="D28" s="4"/>
    </row>
    <row r="29" spans="1:4" x14ac:dyDescent="0.2">
      <c r="A29" s="5">
        <v>0.85182870370370367</v>
      </c>
      <c r="B29" s="4">
        <v>0</v>
      </c>
      <c r="C29" s="5"/>
      <c r="D29" s="4"/>
    </row>
    <row r="30" spans="1:4" x14ac:dyDescent="0.2">
      <c r="A30" s="5">
        <v>0.85185185185185186</v>
      </c>
      <c r="B30" s="4">
        <v>115</v>
      </c>
      <c r="C30" s="5"/>
      <c r="D30" s="4"/>
    </row>
    <row r="31" spans="1:4" x14ac:dyDescent="0.2">
      <c r="A31" s="5">
        <v>0.86107638888888893</v>
      </c>
      <c r="B31" s="4">
        <v>115</v>
      </c>
      <c r="C31" s="5"/>
      <c r="D31" s="4"/>
    </row>
    <row r="32" spans="1:4" x14ac:dyDescent="0.2">
      <c r="A32" s="5">
        <v>0.8649768518518518</v>
      </c>
      <c r="B32" s="4">
        <v>80</v>
      </c>
      <c r="C32" s="5"/>
      <c r="D32" s="4"/>
    </row>
    <row r="33" spans="1:4" x14ac:dyDescent="0.2">
      <c r="A33" s="5">
        <v>0.86498842592592595</v>
      </c>
      <c r="B33">
        <v>115</v>
      </c>
      <c r="C33" s="5"/>
      <c r="D33" s="4"/>
    </row>
    <row r="34" spans="1:4" x14ac:dyDescent="0.2">
      <c r="A34" s="5">
        <v>0.86762731481481481</v>
      </c>
      <c r="B34" s="4">
        <v>115</v>
      </c>
      <c r="C34" s="5"/>
      <c r="D34" s="4"/>
    </row>
    <row r="35" spans="1:4" x14ac:dyDescent="0.2">
      <c r="A35" s="5">
        <v>0.86763888888888885</v>
      </c>
      <c r="B35" s="4">
        <v>115</v>
      </c>
      <c r="C35" s="5"/>
      <c r="D35" s="4"/>
    </row>
    <row r="36" spans="1:4" x14ac:dyDescent="0.2">
      <c r="A36" s="5">
        <v>0.86829861111111106</v>
      </c>
      <c r="B36" s="4">
        <v>0</v>
      </c>
      <c r="C36" s="5"/>
      <c r="D36" s="4"/>
    </row>
    <row r="37" spans="1:4" x14ac:dyDescent="0.2">
      <c r="A37" s="5">
        <v>0.86831018518518521</v>
      </c>
      <c r="B37">
        <v>115</v>
      </c>
      <c r="C37" s="5"/>
      <c r="D37" s="4"/>
    </row>
    <row r="38" spans="1:4" x14ac:dyDescent="0.2">
      <c r="A38" s="5">
        <v>0.87326388888888884</v>
      </c>
      <c r="B38">
        <v>115</v>
      </c>
      <c r="C38" s="5"/>
      <c r="D38" s="4"/>
    </row>
    <row r="39" spans="1:4" x14ac:dyDescent="0.2">
      <c r="A39" s="5">
        <v>0.87346064814814817</v>
      </c>
      <c r="B39">
        <v>0</v>
      </c>
      <c r="C39" s="5"/>
      <c r="D39" s="4"/>
    </row>
    <row r="40" spans="1:4" x14ac:dyDescent="0.2">
      <c r="A40" s="5">
        <v>0.87372685185185184</v>
      </c>
      <c r="B40">
        <v>90</v>
      </c>
      <c r="C40" s="5"/>
      <c r="D40" s="4"/>
    </row>
    <row r="41" spans="1:4" x14ac:dyDescent="0.2">
      <c r="A41" s="5">
        <v>0.87452546296296296</v>
      </c>
      <c r="B41">
        <v>90</v>
      </c>
      <c r="C41" s="5"/>
      <c r="D41" s="4"/>
    </row>
    <row r="42" spans="1:4" x14ac:dyDescent="0.2">
      <c r="A42" s="5">
        <v>0.874537037037037</v>
      </c>
      <c r="B42">
        <v>0</v>
      </c>
      <c r="C42" s="5"/>
      <c r="D42" s="4"/>
    </row>
    <row r="43" spans="1:4" x14ac:dyDescent="0.2">
      <c r="A43" s="5">
        <v>0.87445601851851851</v>
      </c>
      <c r="B43">
        <v>115</v>
      </c>
      <c r="C43" s="5"/>
      <c r="D43" s="4"/>
    </row>
    <row r="44" spans="1:4" x14ac:dyDescent="0.2">
      <c r="A44" s="5">
        <v>0.87885416666666671</v>
      </c>
      <c r="B44">
        <v>120</v>
      </c>
      <c r="C44" s="5"/>
      <c r="D44" s="4"/>
    </row>
    <row r="45" spans="1:4" x14ac:dyDescent="0.2">
      <c r="A45" s="5">
        <v>0.88561342592592596</v>
      </c>
      <c r="B45" s="4">
        <v>120</v>
      </c>
    </row>
    <row r="46" spans="1:4" x14ac:dyDescent="0.2">
      <c r="A46" s="5">
        <v>0.88574074074074072</v>
      </c>
      <c r="B46">
        <v>0</v>
      </c>
    </row>
    <row r="47" spans="1:4" x14ac:dyDescent="0.2">
      <c r="A47" s="5">
        <v>0.89166666666666672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044_04</vt:lpstr>
      <vt:lpstr>044_15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2024-10-02T18:18:44Z</dcterms:created>
  <dcterms:modified xsi:type="dcterms:W3CDTF">2026-01-08T21:01:02Z</dcterms:modified>
</cp:coreProperties>
</file>