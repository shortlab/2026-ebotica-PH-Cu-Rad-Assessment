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41003/"/>
    </mc:Choice>
  </mc:AlternateContent>
  <xr:revisionPtr revIDLastSave="138" documentId="8_{2AFAFC95-8013-934E-8D16-99CC87BC1D19}" xr6:coauthVersionLast="47" xr6:coauthVersionMax="47" xr10:uidLastSave="{B2904FEE-5952-544E-BE50-57946AE6B6D3}"/>
  <bookViews>
    <workbookView xWindow="0" yWindow="480" windowWidth="25600" windowHeight="15520" activeTab="1" xr2:uid="{67BC704E-F056-8D46-B0C4-7D26FB51F520}"/>
  </bookViews>
  <sheets>
    <sheet name="044_18" sheetId="1" r:id="rId1"/>
    <sheet name="044_18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2" l="1"/>
  <c r="K28" i="2"/>
  <c r="L32" i="2"/>
  <c r="L28" i="2"/>
  <c r="K21" i="2" l="1"/>
  <c r="L21" i="2"/>
  <c r="M21" i="2"/>
  <c r="M17" i="2"/>
  <c r="L17" i="2"/>
  <c r="K17" i="2"/>
  <c r="E12" i="1"/>
  <c r="G16" i="2"/>
  <c r="G8" i="2"/>
</calcChain>
</file>

<file path=xl/sharedStrings.xml><?xml version="1.0" encoding="utf-8"?>
<sst xmlns="http://schemas.openxmlformats.org/spreadsheetml/2006/main" count="19" uniqueCount="14">
  <si>
    <t>Time</t>
  </si>
  <si>
    <t>Current</t>
  </si>
  <si>
    <t>Curren (nA)</t>
  </si>
  <si>
    <t>044_15</t>
  </si>
  <si>
    <t>044_04</t>
  </si>
  <si>
    <t>Before</t>
  </si>
  <si>
    <t>After</t>
  </si>
  <si>
    <t>Drop</t>
  </si>
  <si>
    <t>Low</t>
  </si>
  <si>
    <t>High</t>
  </si>
  <si>
    <t>10nA</t>
  </si>
  <si>
    <t>100nA</t>
  </si>
  <si>
    <t>Thermal diff drop</t>
  </si>
  <si>
    <t>SAW freq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</si>
</sst>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19" fontId="0" fillId="0" borderId="0" xfId="0" applyNumberFormat="1"/>
    <xf numFmtId="0" fontId="1" fillId="0" borderId="0" xfId="0" applyFont="1"/>
    <xf numFmtId="11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43EF-C8EF-F944-BBA5-4C75C50B1029}">
  <dimension ref="A1:F19"/>
  <sheetViews>
    <sheetView zoomScale="98" workbookViewId="0">
      <selection activeCell="E12" sqref="E1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</row>
    <row r="2" spans="1:6" x14ac:dyDescent="0.2">
      <c r="A2" s="3">
        <v>0.63124999999999998</v>
      </c>
      <c r="B2" s="2">
        <v>0</v>
      </c>
    </row>
    <row r="3" spans="1:6" x14ac:dyDescent="0.2">
      <c r="A3" s="1">
        <v>0.63194444444444442</v>
      </c>
      <c r="B3" s="2">
        <v>0</v>
      </c>
    </row>
    <row r="4" spans="1:6" x14ac:dyDescent="0.2">
      <c r="A4" s="1">
        <v>0.63472222222222219</v>
      </c>
      <c r="B4" s="2">
        <v>0</v>
      </c>
    </row>
    <row r="5" spans="1:6" x14ac:dyDescent="0.2">
      <c r="A5" s="1">
        <v>0.63680555555555551</v>
      </c>
      <c r="B5" s="2">
        <v>0</v>
      </c>
    </row>
    <row r="6" spans="1:6" x14ac:dyDescent="0.2">
      <c r="A6" s="3">
        <v>0.63817129629629632</v>
      </c>
      <c r="B6" s="2">
        <v>0</v>
      </c>
    </row>
    <row r="7" spans="1:6" x14ac:dyDescent="0.2">
      <c r="A7" s="1">
        <v>0.6381944444444444</v>
      </c>
      <c r="B7" s="2">
        <v>50</v>
      </c>
    </row>
    <row r="8" spans="1:6" x14ac:dyDescent="0.2">
      <c r="A8" s="1">
        <v>0.64027777777777772</v>
      </c>
      <c r="B8" s="2">
        <v>40</v>
      </c>
    </row>
    <row r="9" spans="1:6" x14ac:dyDescent="0.2">
      <c r="A9" s="1">
        <v>0.64097222222222228</v>
      </c>
      <c r="B9" s="2">
        <v>20</v>
      </c>
    </row>
    <row r="10" spans="1:6" x14ac:dyDescent="0.2">
      <c r="A10" s="1">
        <v>0.64131944444444444</v>
      </c>
      <c r="B10" s="2">
        <v>0</v>
      </c>
      <c r="E10" s="5">
        <v>532202000</v>
      </c>
      <c r="F10" t="s">
        <v>5</v>
      </c>
    </row>
    <row r="11" spans="1:6" x14ac:dyDescent="0.2">
      <c r="A11" s="1">
        <v>0.64155092592592589</v>
      </c>
      <c r="B11" s="2">
        <v>48</v>
      </c>
      <c r="E11" s="5">
        <v>526686000</v>
      </c>
      <c r="F11" t="s">
        <v>6</v>
      </c>
    </row>
    <row r="12" spans="1:6" x14ac:dyDescent="0.2">
      <c r="A12" s="1">
        <v>0.64652777777777781</v>
      </c>
      <c r="B12" s="2">
        <v>20</v>
      </c>
      <c r="E12" s="2">
        <f>(E11-E10)/E10*100</f>
        <v>-1.0364485665217342</v>
      </c>
      <c r="F12" t="s">
        <v>7</v>
      </c>
    </row>
    <row r="13" spans="1:6" x14ac:dyDescent="0.2">
      <c r="A13" s="1">
        <v>0.64687499999999998</v>
      </c>
      <c r="B13" s="2">
        <v>0</v>
      </c>
    </row>
    <row r="14" spans="1:6" x14ac:dyDescent="0.2">
      <c r="A14" s="1">
        <v>0.64722222222222225</v>
      </c>
      <c r="B14" s="2">
        <v>40</v>
      </c>
    </row>
    <row r="15" spans="1:6" x14ac:dyDescent="0.2">
      <c r="A15" s="1">
        <v>0.65416666666666667</v>
      </c>
      <c r="B15" s="2">
        <v>35</v>
      </c>
    </row>
    <row r="16" spans="1:6" x14ac:dyDescent="0.2">
      <c r="A16" s="1">
        <v>0.66041666666666665</v>
      </c>
      <c r="B16" s="2">
        <v>30</v>
      </c>
    </row>
    <row r="17" spans="1:2" x14ac:dyDescent="0.2">
      <c r="A17" s="1">
        <v>0.66111111111111109</v>
      </c>
      <c r="B17" s="2">
        <v>38</v>
      </c>
    </row>
    <row r="18" spans="1:2" x14ac:dyDescent="0.2">
      <c r="A18" s="1">
        <v>0.66597222222222219</v>
      </c>
      <c r="B18" s="2">
        <v>38</v>
      </c>
    </row>
    <row r="19" spans="1:2" x14ac:dyDescent="0.2">
      <c r="A19" s="1">
        <v>0.66666666666666663</v>
      </c>
      <c r="B1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989F-7953-D346-B850-B21F53589BC1}">
  <dimension ref="A1:M32"/>
  <sheetViews>
    <sheetView tabSelected="1" zoomScale="86" workbookViewId="0">
      <selection activeCell="E2" sqref="E2"/>
    </sheetView>
  </sheetViews>
  <sheetFormatPr baseColWidth="10" defaultRowHeight="16" x14ac:dyDescent="0.2"/>
  <sheetData>
    <row r="1" spans="1:13" x14ac:dyDescent="0.2">
      <c r="A1" t="s">
        <v>0</v>
      </c>
      <c r="B1" t="s">
        <v>2</v>
      </c>
    </row>
    <row r="2" spans="1:13" x14ac:dyDescent="0.2">
      <c r="A2" s="1">
        <v>0.73888888888888893</v>
      </c>
      <c r="B2" s="2">
        <v>0</v>
      </c>
    </row>
    <row r="3" spans="1:13" x14ac:dyDescent="0.2">
      <c r="A3" s="1">
        <v>0.73958333333333337</v>
      </c>
      <c r="B3" s="2">
        <v>0</v>
      </c>
    </row>
    <row r="4" spans="1:13" x14ac:dyDescent="0.2">
      <c r="A4" s="1">
        <v>0.74261574074074077</v>
      </c>
      <c r="B4" s="2">
        <v>0</v>
      </c>
    </row>
    <row r="5" spans="1:13" x14ac:dyDescent="0.2">
      <c r="A5" s="1">
        <v>0.74262731481481481</v>
      </c>
      <c r="B5">
        <v>120</v>
      </c>
    </row>
    <row r="6" spans="1:13" x14ac:dyDescent="0.2">
      <c r="A6" s="1">
        <v>0.74609953703703702</v>
      </c>
      <c r="B6" s="8">
        <v>118</v>
      </c>
    </row>
    <row r="7" spans="1:13" x14ac:dyDescent="0.2">
      <c r="A7" s="1">
        <v>0.74791666666666667</v>
      </c>
      <c r="B7">
        <v>115</v>
      </c>
      <c r="E7">
        <v>120</v>
      </c>
      <c r="F7">
        <v>17.3</v>
      </c>
      <c r="G7">
        <v>60</v>
      </c>
    </row>
    <row r="8" spans="1:13" x14ac:dyDescent="0.2">
      <c r="A8" s="1">
        <v>0.75208333333333333</v>
      </c>
      <c r="B8">
        <v>120</v>
      </c>
      <c r="F8">
        <v>23</v>
      </c>
      <c r="G8">
        <f>G7*F8/F7</f>
        <v>79.76878612716763</v>
      </c>
    </row>
    <row r="9" spans="1:13" x14ac:dyDescent="0.2">
      <c r="A9" s="1">
        <v>0.75624999999999998</v>
      </c>
      <c r="B9">
        <v>120</v>
      </c>
    </row>
    <row r="10" spans="1:13" x14ac:dyDescent="0.2">
      <c r="A10" s="1">
        <v>0.7631944444444444</v>
      </c>
      <c r="B10">
        <v>123</v>
      </c>
      <c r="K10" s="4">
        <v>-0.54</v>
      </c>
      <c r="L10" t="s">
        <v>3</v>
      </c>
    </row>
    <row r="11" spans="1:13" x14ac:dyDescent="0.2">
      <c r="A11" s="1">
        <v>0.76944444444444449</v>
      </c>
      <c r="B11">
        <v>123</v>
      </c>
      <c r="K11" s="4">
        <v>-0.30469800000000002</v>
      </c>
      <c r="L11" t="s">
        <v>4</v>
      </c>
    </row>
    <row r="12" spans="1:13" x14ac:dyDescent="0.2">
      <c r="A12" s="1">
        <v>0.77500000000000002</v>
      </c>
      <c r="B12">
        <v>120</v>
      </c>
    </row>
    <row r="13" spans="1:13" x14ac:dyDescent="0.2">
      <c r="A13" s="1">
        <v>0.78194444444444444</v>
      </c>
      <c r="B13">
        <v>120</v>
      </c>
    </row>
    <row r="14" spans="1:13" x14ac:dyDescent="0.2">
      <c r="A14" s="1">
        <v>0.79027777777777775</v>
      </c>
      <c r="B14">
        <v>124</v>
      </c>
      <c r="G14" s="5">
        <v>541839000</v>
      </c>
      <c r="H14" t="s">
        <v>5</v>
      </c>
      <c r="K14" t="s">
        <v>8</v>
      </c>
      <c r="L14" t="s">
        <v>8</v>
      </c>
      <c r="M14" t="s">
        <v>9</v>
      </c>
    </row>
    <row r="15" spans="1:13" x14ac:dyDescent="0.2">
      <c r="A15" s="1">
        <v>0.79771990740740739</v>
      </c>
      <c r="B15">
        <v>128</v>
      </c>
      <c r="G15" s="5">
        <v>535002000</v>
      </c>
      <c r="H15" t="s">
        <v>6</v>
      </c>
      <c r="K15" s="5">
        <v>6.7715045000000001E-6</v>
      </c>
      <c r="L15" s="5">
        <v>6.7715045000000001E-6</v>
      </c>
      <c r="M15" s="5">
        <v>5.9557788E-6</v>
      </c>
    </row>
    <row r="16" spans="1:13" x14ac:dyDescent="0.2">
      <c r="A16" s="1">
        <v>0.79791666666666672</v>
      </c>
      <c r="B16" s="2">
        <v>0</v>
      </c>
      <c r="G16" s="6">
        <f>(G15-G14)/G14*100</f>
        <v>-1.2618139336592604</v>
      </c>
      <c r="H16" t="s">
        <v>7</v>
      </c>
      <c r="K16" s="5">
        <v>6.6048457E-6</v>
      </c>
      <c r="L16" s="5">
        <v>6.3737099000000004E-6</v>
      </c>
      <c r="M16" s="5">
        <v>5.4050098999999998E-6</v>
      </c>
    </row>
    <row r="17" spans="1:13" x14ac:dyDescent="0.2">
      <c r="A17" s="1">
        <v>0.7993055555555556</v>
      </c>
      <c r="B17" s="2">
        <v>0</v>
      </c>
      <c r="K17" s="6">
        <f>(K16-K15)/K15*100</f>
        <v>-2.4611783097832998</v>
      </c>
      <c r="L17" s="6">
        <f>(L16-L15)/L15*100</f>
        <v>-5.8745379258036339</v>
      </c>
      <c r="M17" s="6">
        <f>(M16-M15)/M15*100</f>
        <v>-9.2476386127705101</v>
      </c>
    </row>
    <row r="18" spans="1:13" x14ac:dyDescent="0.2">
      <c r="A18" s="1">
        <v>0.80069444444444404</v>
      </c>
      <c r="B18" s="2">
        <v>0</v>
      </c>
    </row>
    <row r="19" spans="1:13" x14ac:dyDescent="0.2">
      <c r="A19" s="1">
        <v>0.80208333333333304</v>
      </c>
      <c r="B19" s="2">
        <v>0</v>
      </c>
      <c r="K19" s="5">
        <v>557398000</v>
      </c>
      <c r="L19" s="5">
        <v>557398000</v>
      </c>
      <c r="M19" s="5">
        <v>557398000</v>
      </c>
    </row>
    <row r="20" spans="1:13" x14ac:dyDescent="0.2">
      <c r="A20" s="1">
        <v>0.80347222222222203</v>
      </c>
      <c r="B20" s="2">
        <v>0</v>
      </c>
      <c r="K20" s="5">
        <v>555152000</v>
      </c>
      <c r="L20" s="5">
        <v>554975000</v>
      </c>
      <c r="M20" s="5">
        <v>555152000</v>
      </c>
    </row>
    <row r="21" spans="1:13" x14ac:dyDescent="0.2">
      <c r="A21" s="1">
        <v>0.8041666666666667</v>
      </c>
      <c r="B21" s="2">
        <v>0</v>
      </c>
      <c r="K21" s="6">
        <f t="shared" ref="K21:L21" si="0">(K20-K19)/K19*100</f>
        <v>-0.40294367758764826</v>
      </c>
      <c r="L21" s="6">
        <f t="shared" si="0"/>
        <v>-0.43469836633787706</v>
      </c>
      <c r="M21" s="6">
        <f>(M20-M19)/M19*100</f>
        <v>-0.40294367758764826</v>
      </c>
    </row>
    <row r="22" spans="1:13" x14ac:dyDescent="0.2">
      <c r="A22" s="1">
        <v>0.80486111111111103</v>
      </c>
      <c r="B22" s="2">
        <v>0</v>
      </c>
    </row>
    <row r="23" spans="1:13" x14ac:dyDescent="0.2">
      <c r="A23" s="1">
        <v>0.80555555555555602</v>
      </c>
      <c r="B23" s="2">
        <v>0</v>
      </c>
    </row>
    <row r="24" spans="1:13" x14ac:dyDescent="0.2">
      <c r="A24" s="1">
        <v>0.80625000000000102</v>
      </c>
      <c r="B24" s="2">
        <v>0</v>
      </c>
    </row>
    <row r="25" spans="1:13" x14ac:dyDescent="0.2">
      <c r="K25" t="s">
        <v>10</v>
      </c>
      <c r="L25" t="s">
        <v>11</v>
      </c>
    </row>
    <row r="26" spans="1:13" x14ac:dyDescent="0.2">
      <c r="J26" s="7" t="s">
        <v>12</v>
      </c>
      <c r="K26" s="5">
        <v>6.7715045000000001E-6</v>
      </c>
      <c r="L26" s="5">
        <v>5.9557788E-6</v>
      </c>
    </row>
    <row r="27" spans="1:13" x14ac:dyDescent="0.2">
      <c r="J27" s="7"/>
      <c r="K27" s="5">
        <v>6.3737099000000004E-6</v>
      </c>
      <c r="L27" s="5">
        <v>5.4050098999999998E-6</v>
      </c>
    </row>
    <row r="28" spans="1:13" x14ac:dyDescent="0.2">
      <c r="J28" s="7"/>
      <c r="K28" s="6">
        <f>(K27-K26)/K26*100</f>
        <v>-5.8745379258036339</v>
      </c>
      <c r="L28" s="6">
        <f>(L27-L26)/L26*100</f>
        <v>-9.2476386127705101</v>
      </c>
    </row>
    <row r="30" spans="1:13" x14ac:dyDescent="0.2">
      <c r="J30" s="7" t="s">
        <v>13</v>
      </c>
      <c r="K30" s="5">
        <v>557398000</v>
      </c>
      <c r="L30" s="5">
        <v>557398000</v>
      </c>
    </row>
    <row r="31" spans="1:13" x14ac:dyDescent="0.2">
      <c r="J31" s="7"/>
      <c r="K31" s="5">
        <v>554975000</v>
      </c>
      <c r="L31" s="5">
        <v>555152000</v>
      </c>
    </row>
    <row r="32" spans="1:13" x14ac:dyDescent="0.2">
      <c r="J32" s="7"/>
      <c r="K32" s="6">
        <f t="shared" ref="K32" si="1">(K31-K30)/K30*100</f>
        <v>-0.43469836633787706</v>
      </c>
      <c r="L32" s="6">
        <f>(L31-L30)/L30*100</f>
        <v>-0.40294367758764826</v>
      </c>
    </row>
  </sheetData>
  <mergeCells count="2">
    <mergeCell ref="J26:J28"/>
    <mergeCell ref="J30:J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044_18</vt:lpstr>
      <vt:lpstr>044_18_2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Botica Artalejo</dc:creator>
  <cp:lastModifiedBy>Elena Botica Artalejo</cp:lastModifiedBy>
  <dcterms:created xsi:type="dcterms:W3CDTF">2024-10-03T19:13:12Z</dcterms:created>
  <dcterms:modified xsi:type="dcterms:W3CDTF">2026-01-29T21:36:44Z</dcterms:modified>
</cp:coreProperties>
</file>